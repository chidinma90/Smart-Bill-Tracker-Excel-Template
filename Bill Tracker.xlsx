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18a1013829a9ac6/Documents/"/>
    </mc:Choice>
  </mc:AlternateContent>
  <xr:revisionPtr revIDLastSave="2" documentId="13_ncr:1_{C9EBD9A0-5A20-4930-BC7E-524E589FD292}" xr6:coauthVersionLast="47" xr6:coauthVersionMax="47" xr10:uidLastSave="{01153C8E-7E56-4766-A9C3-CF5A052184A0}"/>
  <bookViews>
    <workbookView xWindow="-110" yWindow="-110" windowWidth="19420" windowHeight="10420" activeTab="1" xr2:uid="{7D59AC8C-74E6-4E87-9E6A-CAAE496D77FD}"/>
  </bookViews>
  <sheets>
    <sheet name="Sheet1" sheetId="3" r:id="rId1"/>
    <sheet name="Bill Tracker" sheetId="1" r:id="rId2"/>
    <sheet name="Sheet2" sheetId="2" r:id="rId3"/>
  </sheets>
  <externalReferences>
    <externalReference r:id="rId4"/>
  </externalReferences>
  <definedNames>
    <definedName name="NativeTimeline_Start_Date">#N/A</definedName>
    <definedName name="SAVINGS_GOAL_NAMES">[1]Lists!$A$49:$A$55</definedName>
    <definedName name="Slicer_Days_Left">#N/A</definedName>
    <definedName name="Slicer_Frequency">#N/A</definedName>
    <definedName name="Slicer_Status">#N/A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1" l="1"/>
  <c r="G8" i="1" s="1"/>
  <c r="H8" i="1" s="1"/>
  <c r="F7" i="1"/>
  <c r="G7" i="1" s="1"/>
  <c r="H7" i="1" s="1"/>
  <c r="F6" i="1"/>
  <c r="G6" i="1" s="1"/>
  <c r="H6" i="1" s="1"/>
  <c r="F5" i="1"/>
  <c r="G5" i="1" s="1"/>
  <c r="H5" i="1" s="1"/>
  <c r="F4" i="1"/>
  <c r="G4" i="1" s="1"/>
  <c r="H4" i="1" s="1"/>
  <c r="F3" i="1"/>
  <c r="G3" i="1" s="1"/>
  <c r="H3" i="1" s="1"/>
  <c r="F2" i="1"/>
  <c r="G2" i="1" s="1"/>
  <c r="H2" i="1" s="1"/>
</calcChain>
</file>

<file path=xl/sharedStrings.xml><?xml version="1.0" encoding="utf-8"?>
<sst xmlns="http://schemas.openxmlformats.org/spreadsheetml/2006/main" count="36" uniqueCount="26">
  <si>
    <t>Bill Name</t>
  </si>
  <si>
    <t>Start Date</t>
  </si>
  <si>
    <t>Frequency</t>
  </si>
  <si>
    <t>Amount</t>
  </si>
  <si>
    <t>Due Date</t>
  </si>
  <si>
    <t>Days Left</t>
  </si>
  <si>
    <t>Status</t>
  </si>
  <si>
    <t>Spotify</t>
  </si>
  <si>
    <t>Monthly</t>
  </si>
  <si>
    <t>Youtube</t>
  </si>
  <si>
    <t>Annual</t>
  </si>
  <si>
    <t>BILL_FREQUENCY</t>
  </si>
  <si>
    <t>Quarterly</t>
  </si>
  <si>
    <t>Bi-Annual</t>
  </si>
  <si>
    <t>BILL_NAME</t>
  </si>
  <si>
    <t>Rent</t>
  </si>
  <si>
    <t>Elelctricity</t>
  </si>
  <si>
    <t>Waste</t>
  </si>
  <si>
    <t>Water</t>
  </si>
  <si>
    <t>Gas</t>
  </si>
  <si>
    <t>Netflix</t>
  </si>
  <si>
    <t>Row Labels</t>
  </si>
  <si>
    <t>(blank)</t>
  </si>
  <si>
    <t>Grand Total</t>
  </si>
  <si>
    <t>(All)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</si>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</sst>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d\-mmm;@"/>
    <numFmt numFmtId="165" formatCode="[$-409]mmmm\ d\,\ yyyy;@"/>
  </numFmts>
  <fonts count="8"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0"/>
      <name val="Calibri"/>
      <family val="2"/>
      <scheme val="minor"/>
    </font>
    <font>
      <b/>
      <sz val="12"/>
      <color theme="1"/>
      <name val="Calibri"/>
      <family val="2"/>
      <scheme val="minor"/>
    </font>
    <font>
      <b/>
      <u/>
      <sz val="24"/>
      <color theme="4" tint="-0.499984740745262"/>
      <name val="Calibri"/>
      <family val="2"/>
      <scheme val="minor"/>
    </font>
    <font>
      <b/>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5"/>
        <bgColor indexed="64"/>
      </patternFill>
    </fill>
  </fills>
  <borders count="1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0">
    <xf numFmtId="0" fontId="0" fillId="0" borderId="0" xfId="0"/>
    <xf numFmtId="0" fontId="0" fillId="2" borderId="0" xfId="0" applyFill="1"/>
    <xf numFmtId="0" fontId="0" fillId="2" borderId="12"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horizontal="center"/>
    </xf>
    <xf numFmtId="0" fontId="0" fillId="2" borderId="12" xfId="0" applyFill="1" applyBorder="1" applyAlignment="1">
      <alignment horizontal="center"/>
    </xf>
    <xf numFmtId="0" fontId="0" fillId="2" borderId="10" xfId="0" applyFill="1" applyBorder="1" applyAlignment="1">
      <alignment horizontal="center"/>
    </xf>
    <xf numFmtId="0" fontId="0" fillId="2" borderId="0" xfId="0" applyFill="1" applyAlignment="1" applyProtection="1">
      <alignment horizontal="center" vertical="center"/>
      <protection locked="0"/>
    </xf>
    <xf numFmtId="0" fontId="0" fillId="2" borderId="4" xfId="0" applyFill="1" applyBorder="1" applyAlignment="1" applyProtection="1">
      <alignment horizontal="center" vertical="center"/>
      <protection locked="0"/>
    </xf>
    <xf numFmtId="165" fontId="0" fillId="2" borderId="5" xfId="0" applyNumberFormat="1"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44" fontId="0" fillId="2" borderId="5" xfId="1" applyFont="1" applyFill="1" applyBorder="1" applyAlignment="1" applyProtection="1">
      <alignment horizontal="center" vertical="center"/>
      <protection locked="0"/>
    </xf>
    <xf numFmtId="0" fontId="0" fillId="2" borderId="7" xfId="0" applyFill="1" applyBorder="1" applyAlignment="1" applyProtection="1">
      <alignment horizontal="center" vertical="center"/>
      <protection locked="0"/>
    </xf>
    <xf numFmtId="165" fontId="0" fillId="2" borderId="8" xfId="0" applyNumberFormat="1"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44" fontId="0" fillId="2" borderId="8" xfId="1" applyFont="1" applyFill="1" applyBorder="1" applyAlignment="1" applyProtection="1">
      <alignment horizontal="center" vertical="center"/>
      <protection locked="0"/>
    </xf>
    <xf numFmtId="0" fontId="7" fillId="2" borderId="0" xfId="0" applyFont="1" applyFill="1" applyAlignment="1" applyProtection="1">
      <alignment horizontal="center" vertical="center"/>
      <protection locked="0"/>
    </xf>
    <xf numFmtId="164" fontId="0" fillId="2" borderId="0" xfId="0" applyNumberFormat="1" applyFill="1" applyAlignment="1" applyProtection="1">
      <alignment horizontal="center" vertical="center"/>
      <protection locked="0"/>
    </xf>
    <xf numFmtId="165" fontId="0" fillId="2" borderId="0" xfId="0" applyNumberForma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6" fillId="2" borderId="0" xfId="0" applyFont="1" applyFill="1" applyProtection="1">
      <protection locked="0"/>
    </xf>
    <xf numFmtId="0" fontId="0" fillId="2" borderId="0" xfId="0" applyFill="1" applyProtection="1">
      <protection locked="0"/>
    </xf>
    <xf numFmtId="1" fontId="0" fillId="2" borderId="0" xfId="0" applyNumberFormat="1" applyFill="1" applyAlignment="1" applyProtection="1">
      <alignment horizontal="center" vertical="center"/>
      <protection locked="0"/>
    </xf>
    <xf numFmtId="165" fontId="0" fillId="3" borderId="5" xfId="0" applyNumberFormat="1" applyFill="1" applyBorder="1" applyAlignment="1" applyProtection="1">
      <alignment horizontal="center" vertical="center"/>
      <protection hidden="1"/>
    </xf>
    <xf numFmtId="1" fontId="0" fillId="3" borderId="5" xfId="0" applyNumberFormat="1" applyFill="1" applyBorder="1" applyAlignment="1" applyProtection="1">
      <alignment horizontal="center" vertical="center"/>
      <protection hidden="1"/>
    </xf>
    <xf numFmtId="0" fontId="2" fillId="3" borderId="6" xfId="0" applyFont="1" applyFill="1" applyBorder="1" applyAlignment="1" applyProtection="1">
      <alignment horizontal="center" vertical="center"/>
      <protection hidden="1"/>
    </xf>
    <xf numFmtId="165" fontId="0" fillId="3" borderId="8" xfId="0" applyNumberFormat="1" applyFill="1" applyBorder="1" applyAlignment="1" applyProtection="1">
      <alignment horizontal="center" vertical="center"/>
      <protection hidden="1"/>
    </xf>
    <xf numFmtId="1" fontId="0" fillId="3" borderId="8" xfId="0" applyNumberFormat="1" applyFill="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0" fillId="0" borderId="0" xfId="0" pivotButton="1"/>
    <xf numFmtId="0" fontId="0" fillId="0" borderId="0" xfId="0" applyAlignment="1">
      <alignment horizontal="left"/>
    </xf>
    <xf numFmtId="0" fontId="0" fillId="0" borderId="0" xfId="0" applyNumberFormat="1"/>
    <xf numFmtId="0" fontId="4" fillId="4" borderId="1" xfId="0" applyFont="1" applyFill="1" applyBorder="1" applyAlignment="1" applyProtection="1">
      <alignment horizontal="center" vertical="center"/>
      <protection locked="0"/>
    </xf>
    <xf numFmtId="164" fontId="4" fillId="4" borderId="2" xfId="0" applyNumberFormat="1" applyFont="1" applyFill="1" applyBorder="1" applyAlignment="1" applyProtection="1">
      <alignment horizontal="center" vertical="center"/>
      <protection locked="0"/>
    </xf>
    <xf numFmtId="0" fontId="4" fillId="4" borderId="2" xfId="0" applyFont="1" applyFill="1" applyBorder="1" applyAlignment="1" applyProtection="1">
      <alignment horizontal="center" vertical="center"/>
      <protection locked="0"/>
    </xf>
    <xf numFmtId="165" fontId="4" fillId="4" borderId="2" xfId="0" applyNumberFormat="1" applyFont="1" applyFill="1" applyBorder="1" applyAlignment="1" applyProtection="1">
      <alignment horizontal="center" vertical="center"/>
      <protection locked="0"/>
    </xf>
    <xf numFmtId="1" fontId="4" fillId="4" borderId="2" xfId="0" applyNumberFormat="1" applyFont="1" applyFill="1" applyBorder="1" applyAlignment="1" applyProtection="1">
      <alignment horizontal="center" vertical="center"/>
      <protection locked="0"/>
    </xf>
    <xf numFmtId="0" fontId="4" fillId="4" borderId="3" xfId="0" applyFont="1" applyFill="1" applyBorder="1" applyAlignment="1" applyProtection="1">
      <alignment horizontal="center" vertical="center"/>
      <protection locked="0"/>
    </xf>
    <xf numFmtId="0" fontId="5" fillId="4" borderId="11" xfId="0" applyFont="1" applyFill="1" applyBorder="1" applyAlignment="1">
      <alignment horizontal="center"/>
    </xf>
    <xf numFmtId="0" fontId="5" fillId="4" borderId="11" xfId="0" applyFont="1" applyFill="1" applyBorder="1"/>
  </cellXfs>
  <cellStyles count="2">
    <cellStyle name="Currency" xfId="1" builtinId="4"/>
    <cellStyle name="Normal" xfId="0" builtinId="0"/>
  </cellStyles>
  <dxfs count="28">
    <dxf>
      <font>
        <b/>
        <strike val="0"/>
        <outline val="0"/>
        <shadow val="0"/>
        <u val="none"/>
        <vertAlign val="baseline"/>
        <color theme="0"/>
        <name val="Calibri"/>
        <family val="2"/>
        <scheme val="minor"/>
      </font>
      <numFmt numFmtId="0" formatCode="General"/>
      <fill>
        <patternFill patternType="solid">
          <fgColor indexed="64"/>
          <bgColor theme="2"/>
        </patternFill>
      </fill>
      <alignment horizontal="center" vertical="center" textRotation="0" wrapText="0" indent="0" justifyLastLine="0" shrinkToFit="0" readingOrder="0"/>
      <border diagonalUp="0" diagonalDown="0">
        <left style="thin">
          <color auto="1"/>
        </left>
        <right/>
        <top style="thin">
          <color indexed="64"/>
        </top>
        <bottom style="thin">
          <color indexed="64"/>
        </bottom>
      </border>
      <protection locked="1" hidden="1"/>
    </dxf>
    <dxf>
      <numFmt numFmtId="1" formatCode="0"/>
      <fill>
        <patternFill patternType="solid">
          <fgColor indexed="64"/>
          <bgColor theme="2"/>
        </patternFill>
      </fill>
      <alignment horizontal="center" vertical="center" textRotation="0" wrapText="0" indent="0" justifyLastLine="0" shrinkToFit="0" readingOrder="0"/>
      <border diagonalUp="0" diagonalDown="0">
        <left style="thin">
          <color auto="1"/>
        </left>
        <right style="thin">
          <color indexed="64"/>
        </right>
        <top style="thin">
          <color indexed="64"/>
        </top>
        <bottom style="thin">
          <color indexed="64"/>
        </bottom>
      </border>
      <protection locked="1" hidden="1"/>
    </dxf>
    <dxf>
      <numFmt numFmtId="165" formatCode="[$-409]mmmm\ d\,\ yyyy;@"/>
      <fill>
        <patternFill patternType="solid">
          <fgColor indexed="64"/>
          <bgColor theme="2"/>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1" hidden="1"/>
    </dxf>
    <dxf>
      <fill>
        <patternFill>
          <fgColor indexed="64"/>
          <bgColor theme="0"/>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4"/>
        <color theme="0"/>
        <name val="Calibri"/>
        <family val="2"/>
        <scheme val="minor"/>
      </font>
      <fill>
        <patternFill patternType="solid">
          <fgColor indexed="64"/>
          <bgColor theme="5"/>
        </patternFill>
      </fill>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0" hidden="0"/>
    </dxf>
    <dxf>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5" formatCode="[$-409]mmmm\ d\,\ yyyy;@"/>
      <fill>
        <patternFill>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2"/>
        <color theme="1"/>
        <name val="Calibri"/>
        <family val="2"/>
        <scheme val="minor"/>
      </font>
      <fill>
        <patternFill patternType="solid">
          <fgColor indexed="64"/>
          <bgColor theme="5"/>
        </patternFill>
      </fill>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Calibri"/>
        <family val="2"/>
        <scheme val="minor"/>
      </font>
      <fill>
        <patternFill patternType="solid">
          <fgColor indexed="64"/>
          <bgColor theme="5"/>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ill>
        <patternFill>
          <fgColor indexed="64"/>
          <bgColor theme="0"/>
        </patternFill>
      </fill>
      <alignment horizontal="center" vertical="center" textRotation="0" wrapText="0" indent="0" justifyLastLine="0" shrinkToFit="0" readingOrder="0"/>
      <border diagonalUp="0" diagonalDown="0">
        <left/>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dxf>
    <dxf>
      <border>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bgColor rgb="FFFF0000"/>
        </patternFill>
      </fill>
    </dxf>
    <dxf>
      <fill>
        <patternFill>
          <bgColor theme="9" tint="0.39994506668294322"/>
        </patternFill>
      </fill>
    </dxf>
    <dxf>
      <fill>
        <patternFill>
          <bgColor theme="9"/>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 Tracker.xlsx]Sheet1!PivotTable1</c:name>
    <c:fmtId val="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Bill</a:t>
            </a:r>
            <a:r>
              <a:rPr lang="en-US" b="1" baseline="0">
                <a:solidFill>
                  <a:sysClr val="windowText" lastClr="000000"/>
                </a:solidFill>
              </a:rPr>
              <a:t>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cat>
            <c:strRef>
              <c:f>Sheet1!$A$4:$A$8</c:f>
              <c:strCache>
                <c:ptCount val="4"/>
                <c:pt idx="0">
                  <c:v>Elelctricity</c:v>
                </c:pt>
                <c:pt idx="1">
                  <c:v>Spotify</c:v>
                </c:pt>
                <c:pt idx="2">
                  <c:v>Youtube</c:v>
                </c:pt>
                <c:pt idx="3">
                  <c:v>(blank)</c:v>
                </c:pt>
              </c:strCache>
            </c:strRef>
          </c:cat>
          <c:val>
            <c:numRef>
              <c:f>Sheet1!$B$4:$B$8</c:f>
              <c:numCache>
                <c:formatCode>General</c:formatCode>
                <c:ptCount val="4"/>
                <c:pt idx="0">
                  <c:v>500</c:v>
                </c:pt>
                <c:pt idx="1">
                  <c:v>3000</c:v>
                </c:pt>
                <c:pt idx="2">
                  <c:v>5000</c:v>
                </c:pt>
              </c:numCache>
            </c:numRef>
          </c:val>
          <c:extLst>
            <c:ext xmlns:c16="http://schemas.microsoft.com/office/drawing/2014/chart" uri="{C3380CC4-5D6E-409C-BE32-E72D297353CC}">
              <c16:uniqueId val="{00000000-87E8-467F-AB9A-9DEAA9521E6F}"/>
            </c:ext>
          </c:extLst>
        </c:ser>
        <c:dLbls>
          <c:showLegendKey val="0"/>
          <c:showVal val="0"/>
          <c:showCatName val="0"/>
          <c:showSerName val="0"/>
          <c:showPercent val="0"/>
          <c:showBubbleSize val="0"/>
        </c:dLbls>
        <c:gapWidth val="219"/>
        <c:overlap val="-27"/>
        <c:axId val="1672709504"/>
        <c:axId val="1672714912"/>
      </c:barChart>
      <c:catAx>
        <c:axId val="167270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14912"/>
        <c:crosses val="autoZero"/>
        <c:auto val="1"/>
        <c:lblAlgn val="ctr"/>
        <c:lblOffset val="100"/>
        <c:noMultiLvlLbl val="0"/>
      </c:catAx>
      <c:valAx>
        <c:axId val="167271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70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190500</xdr:colOff>
      <xdr:row>1</xdr:row>
      <xdr:rowOff>12700</xdr:rowOff>
    </xdr:from>
    <xdr:to>
      <xdr:col>8</xdr:col>
      <xdr:colOff>476250</xdr:colOff>
      <xdr:row>6</xdr:row>
      <xdr:rowOff>76200</xdr:rowOff>
    </xdr:to>
    <mc:AlternateContent xmlns:mc="http://schemas.openxmlformats.org/markup-compatibility/2006">
      <mc:Choice xmlns:tsle="http://schemas.microsoft.com/office/drawing/2012/timeslicer" Requires="tsle">
        <xdr:graphicFrame macro="">
          <xdr:nvGraphicFramePr>
            <xdr:cNvPr id="2" name="Start Date">
              <a:extLst>
                <a:ext uri="{FF2B5EF4-FFF2-40B4-BE49-F238E27FC236}">
                  <a16:creationId xmlns:a16="http://schemas.microsoft.com/office/drawing/2014/main" id="{68BF52A5-246A-4D64-8C3C-CCC0A73BABBB}"/>
                </a:ext>
              </a:extLst>
            </xdr:cNvPr>
            <xdr:cNvGraphicFramePr/>
          </xdr:nvGraphicFramePr>
          <xdr:xfrm>
            <a:off x="0" y="0"/>
            <a:ext cx="0" cy="0"/>
          </xdr:xfrm>
          <a:graphic>
            <a:graphicData uri="http://schemas.microsoft.com/office/drawing/2012/timeslicer">
              <tsle:timeslicer xmlns:tsle="http://schemas.microsoft.com/office/drawing/2012/timeslicer" name="Start Date"/>
            </a:graphicData>
          </a:graphic>
        </xdr:graphicFrame>
      </mc:Choice>
      <mc:Fallback>
        <xdr:sp macro="" textlink="">
          <xdr:nvSpPr>
            <xdr:cNvPr id="0" name=""/>
            <xdr:cNvSpPr>
              <a:spLocks noTextEdit="1"/>
            </xdr:cNvSpPr>
          </xdr:nvSpPr>
          <xdr:spPr>
            <a:xfrm>
              <a:off x="2584450" y="196850"/>
              <a:ext cx="3333750" cy="984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533400</xdr:colOff>
      <xdr:row>1</xdr:row>
      <xdr:rowOff>133350</xdr:rowOff>
    </xdr:from>
    <xdr:to>
      <xdr:col>13</xdr:col>
      <xdr:colOff>12700</xdr:colOff>
      <xdr:row>15</xdr:row>
      <xdr:rowOff>79375</xdr:rowOff>
    </xdr:to>
    <mc:AlternateContent xmlns:mc="http://schemas.openxmlformats.org/markup-compatibility/2006">
      <mc:Choice xmlns:a14="http://schemas.microsoft.com/office/drawing/2010/main" Requires="a14">
        <xdr:graphicFrame macro="">
          <xdr:nvGraphicFramePr>
            <xdr:cNvPr id="3" name="Days Left">
              <a:extLst>
                <a:ext uri="{FF2B5EF4-FFF2-40B4-BE49-F238E27FC236}">
                  <a16:creationId xmlns:a16="http://schemas.microsoft.com/office/drawing/2014/main" id="{21318750-4A24-4397-B3DB-E0904EF08949}"/>
                </a:ext>
              </a:extLst>
            </xdr:cNvPr>
            <xdr:cNvGraphicFramePr/>
          </xdr:nvGraphicFramePr>
          <xdr:xfrm>
            <a:off x="0" y="0"/>
            <a:ext cx="0" cy="0"/>
          </xdr:xfrm>
          <a:graphic>
            <a:graphicData uri="http://schemas.microsoft.com/office/drawing/2010/slicer">
              <sle:slicer xmlns:sle="http://schemas.microsoft.com/office/drawing/2010/slicer" name="Days Left"/>
            </a:graphicData>
          </a:graphic>
        </xdr:graphicFrame>
      </mc:Choice>
      <mc:Fallback>
        <xdr:sp macro="" textlink="">
          <xdr:nvSpPr>
            <xdr:cNvPr id="0" name=""/>
            <xdr:cNvSpPr>
              <a:spLocks noTextEdit="1"/>
            </xdr:cNvSpPr>
          </xdr:nvSpPr>
          <xdr:spPr>
            <a:xfrm>
              <a:off x="7804150" y="317500"/>
              <a:ext cx="698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247650</xdr:colOff>
      <xdr:row>1</xdr:row>
      <xdr:rowOff>107951</xdr:rowOff>
    </xdr:from>
    <xdr:to>
      <xdr:col>11</xdr:col>
      <xdr:colOff>444500</xdr:colOff>
      <xdr:row>9</xdr:row>
      <xdr:rowOff>82551</xdr:rowOff>
    </xdr:to>
    <mc:AlternateContent xmlns:mc="http://schemas.openxmlformats.org/markup-compatibility/2006">
      <mc:Choice xmlns:a14="http://schemas.microsoft.com/office/drawing/2010/main" Requires="a14">
        <xdr:graphicFrame macro="">
          <xdr:nvGraphicFramePr>
            <xdr:cNvPr id="4" name="Status">
              <a:extLst>
                <a:ext uri="{FF2B5EF4-FFF2-40B4-BE49-F238E27FC236}">
                  <a16:creationId xmlns:a16="http://schemas.microsoft.com/office/drawing/2014/main" id="{8E0C6622-58B7-4769-843C-199DF4F453B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908800" y="292101"/>
              <a:ext cx="80645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571500</xdr:colOff>
      <xdr:row>1</xdr:row>
      <xdr:rowOff>50800</xdr:rowOff>
    </xdr:from>
    <xdr:to>
      <xdr:col>10</xdr:col>
      <xdr:colOff>254000</xdr:colOff>
      <xdr:row>14</xdr:row>
      <xdr:rowOff>180975</xdr:rowOff>
    </xdr:to>
    <mc:AlternateContent xmlns:mc="http://schemas.openxmlformats.org/markup-compatibility/2006">
      <mc:Choice xmlns:a14="http://schemas.microsoft.com/office/drawing/2010/main" Requires="a14">
        <xdr:graphicFrame macro="">
          <xdr:nvGraphicFramePr>
            <xdr:cNvPr id="5" name="Frequency">
              <a:extLst>
                <a:ext uri="{FF2B5EF4-FFF2-40B4-BE49-F238E27FC236}">
                  <a16:creationId xmlns:a16="http://schemas.microsoft.com/office/drawing/2014/main" id="{CD8BE90C-83C6-416B-BC00-C41373AB5F4B}"/>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dr:sp macro="" textlink="">
          <xdr:nvSpPr>
            <xdr:cNvPr id="0" name=""/>
            <xdr:cNvSpPr>
              <a:spLocks noTextEdit="1"/>
            </xdr:cNvSpPr>
          </xdr:nvSpPr>
          <xdr:spPr>
            <a:xfrm>
              <a:off x="6013450" y="234950"/>
              <a:ext cx="9017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7</xdr:row>
      <xdr:rowOff>114300</xdr:rowOff>
    </xdr:from>
    <xdr:to>
      <xdr:col>8</xdr:col>
      <xdr:colOff>419100</xdr:colOff>
      <xdr:row>19</xdr:row>
      <xdr:rowOff>180974</xdr:rowOff>
    </xdr:to>
    <xdr:graphicFrame macro="">
      <xdr:nvGraphicFramePr>
        <xdr:cNvPr id="6" name="Chart 5">
          <a:extLst>
            <a:ext uri="{FF2B5EF4-FFF2-40B4-BE49-F238E27FC236}">
              <a16:creationId xmlns:a16="http://schemas.microsoft.com/office/drawing/2014/main" id="{FA1E1594-8650-4415-A8E1-E5994186B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13</xdr:row>
      <xdr:rowOff>234950</xdr:rowOff>
    </xdr:from>
    <xdr:to>
      <xdr:col>10</xdr:col>
      <xdr:colOff>273050</xdr:colOff>
      <xdr:row>33</xdr:row>
      <xdr:rowOff>76200</xdr:rowOff>
    </xdr:to>
    <xdr:sp macro="" textlink="">
      <xdr:nvSpPr>
        <xdr:cNvPr id="2" name="TextBox 1">
          <a:extLst>
            <a:ext uri="{FF2B5EF4-FFF2-40B4-BE49-F238E27FC236}">
              <a16:creationId xmlns:a16="http://schemas.microsoft.com/office/drawing/2014/main" id="{582D6F6A-9523-44DF-8A9C-159EB9DFA1D7}"/>
            </a:ext>
          </a:extLst>
        </xdr:cNvPr>
        <xdr:cNvSpPr txBox="1"/>
      </xdr:nvSpPr>
      <xdr:spPr>
        <a:xfrm>
          <a:off x="171450" y="2730500"/>
          <a:ext cx="11049000" cy="373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chemeClr val="dk1"/>
            </a:solidFill>
            <a:effectLst/>
            <a:latin typeface="+mn-lt"/>
            <a:ea typeface="+mn-ea"/>
            <a:cs typeface="+mn-cs"/>
          </a:endParaRPr>
        </a:p>
        <a:p>
          <a:pPr algn="ctr"/>
          <a:r>
            <a:rPr lang="en-US" sz="2400" b="1" i="0" u="sng" strike="noStrike">
              <a:solidFill>
                <a:sysClr val="windowText" lastClr="000000"/>
              </a:solidFill>
              <a:effectLst/>
              <a:latin typeface="+mn-lt"/>
              <a:ea typeface="+mn-ea"/>
              <a:cs typeface="+mn-cs"/>
            </a:rPr>
            <a:t>BILL TRACKER GUIDE</a:t>
          </a:r>
        </a:p>
        <a:p>
          <a:endParaRPr lang="en-US" sz="1100" b="1" i="0" u="none" strike="noStrike">
            <a:solidFill>
              <a:schemeClr val="dk1"/>
            </a:solidFill>
            <a:effectLst/>
            <a:latin typeface="+mn-lt"/>
            <a:ea typeface="+mn-ea"/>
            <a:cs typeface="+mn-cs"/>
          </a:endParaRPr>
        </a:p>
        <a:p>
          <a:pPr algn="ctr"/>
          <a:r>
            <a:rPr lang="en-US" sz="1100" b="1" i="0" u="none" strike="noStrike">
              <a:solidFill>
                <a:schemeClr val="dk1"/>
              </a:solidFill>
              <a:effectLst/>
              <a:latin typeface="+mn-lt"/>
              <a:ea typeface="+mn-ea"/>
              <a:cs typeface="+mn-cs"/>
            </a:rPr>
            <a:t>DUE DATE: </a:t>
          </a:r>
          <a:r>
            <a:rPr lang="en-US" sz="1100" b="0" i="0" u="none" strike="noStrike">
              <a:solidFill>
                <a:schemeClr val="dk1"/>
              </a:solidFill>
              <a:effectLst/>
              <a:latin typeface="+mn-lt"/>
              <a:ea typeface="+mn-ea"/>
              <a:cs typeface="+mn-cs"/>
            </a:rPr>
            <a:t>Autoupdates based on the </a:t>
          </a:r>
          <a:r>
            <a:rPr lang="en-US" sz="1100" b="1" i="0" u="none" strike="noStrike">
              <a:solidFill>
                <a:schemeClr val="dk1"/>
              </a:solidFill>
              <a:effectLst/>
              <a:latin typeface="+mn-lt"/>
              <a:ea typeface="+mn-ea"/>
              <a:cs typeface="+mn-cs"/>
            </a:rPr>
            <a:t>"Start Date" and "Frequency" </a:t>
          </a:r>
          <a:r>
            <a:rPr lang="en-US" sz="1100" b="0" i="0" u="none" strike="noStrike">
              <a:solidFill>
                <a:schemeClr val="dk1"/>
              </a:solidFill>
              <a:effectLst/>
              <a:latin typeface="+mn-lt"/>
              <a:ea typeface="+mn-ea"/>
              <a:cs typeface="+mn-cs"/>
            </a:rPr>
            <a:t>of the bill. </a:t>
          </a:r>
          <a:r>
            <a:rPr lang="en-US"/>
            <a:t> </a:t>
          </a:r>
          <a:r>
            <a:rPr lang="en-US" sz="1100" b="0" i="0" u="none" strike="noStrike">
              <a:solidFill>
                <a:schemeClr val="dk1"/>
              </a:solidFill>
              <a:effectLst/>
              <a:latin typeface="+mn-lt"/>
              <a:ea typeface="+mn-ea"/>
              <a:cs typeface="+mn-cs"/>
            </a:rPr>
            <a:t> </a:t>
          </a:r>
          <a:r>
            <a:rPr lang="en-US"/>
            <a:t> </a:t>
          </a:r>
        </a:p>
        <a:p>
          <a:pPr algn="ctr"/>
          <a:endParaRPr lang="en-US" sz="1100" b="1" i="0" u="none" strike="noStrike">
            <a:solidFill>
              <a:schemeClr val="dk1"/>
            </a:solidFill>
            <a:effectLst/>
            <a:latin typeface="+mn-lt"/>
            <a:ea typeface="+mn-ea"/>
            <a:cs typeface="+mn-cs"/>
          </a:endParaRPr>
        </a:p>
        <a:p>
          <a:pPr algn="ctr"/>
          <a:r>
            <a:rPr lang="en-US" sz="1100" b="1" i="0" u="none" strike="noStrike">
              <a:solidFill>
                <a:schemeClr val="dk1"/>
              </a:solidFill>
              <a:effectLst/>
              <a:latin typeface="+mn-lt"/>
              <a:ea typeface="+mn-ea"/>
              <a:cs typeface="+mn-cs"/>
            </a:rPr>
            <a:t>DAYS</a:t>
          </a:r>
          <a:r>
            <a:rPr lang="en-US" sz="1100" b="1" i="0" u="none" strike="noStrike" baseline="0">
              <a:solidFill>
                <a:schemeClr val="dk1"/>
              </a:solidFill>
              <a:effectLst/>
              <a:latin typeface="+mn-lt"/>
              <a:ea typeface="+mn-ea"/>
              <a:cs typeface="+mn-cs"/>
            </a:rPr>
            <a:t> LEFT</a:t>
          </a:r>
          <a:r>
            <a:rPr lang="en-US" sz="1100" b="1"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Autoupdates</a:t>
          </a:r>
          <a:r>
            <a:rPr lang="en-US" sz="1100" b="0" i="0" u="none" strike="noStrike" baseline="0">
              <a:solidFill>
                <a:schemeClr val="dk1"/>
              </a:solidFill>
              <a:effectLst/>
              <a:latin typeface="+mn-lt"/>
              <a:ea typeface="+mn-ea"/>
              <a:cs typeface="+mn-cs"/>
            </a:rPr>
            <a:t> throughout the life spam of the bill, and eventually becomes zero when the bill is due for renewal</a:t>
          </a:r>
        </a:p>
        <a:p>
          <a:pPr algn="ctr"/>
          <a:endParaRPr lang="en-US" sz="1100" b="0" i="0" u="none" strike="noStrike"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t> </a:t>
          </a:r>
          <a:r>
            <a:rPr lang="en-US" sz="1100" b="1" i="0">
              <a:solidFill>
                <a:schemeClr val="dk1"/>
              </a:solidFill>
              <a:effectLst/>
              <a:latin typeface="+mn-lt"/>
              <a:ea typeface="+mn-ea"/>
              <a:cs typeface="+mn-cs"/>
            </a:rPr>
            <a:t>STATUS: "</a:t>
          </a:r>
          <a:r>
            <a:rPr lang="en-US" sz="1100" b="0" i="0">
              <a:solidFill>
                <a:schemeClr val="dk1"/>
              </a:solidFill>
              <a:effectLst/>
              <a:latin typeface="+mn-lt"/>
              <a:ea typeface="+mn-ea"/>
              <a:cs typeface="+mn-cs"/>
            </a:rPr>
            <a:t>Active</a:t>
          </a:r>
          <a:r>
            <a:rPr lang="en-US" sz="1100" b="0" i="0" baseline="0">
              <a:solidFill>
                <a:schemeClr val="dk1"/>
              </a:solidFill>
              <a:effectLst/>
              <a:latin typeface="+mn-lt"/>
              <a:ea typeface="+mn-ea"/>
              <a:cs typeface="+mn-cs"/>
            </a:rPr>
            <a:t> with Green Fill" when the bill is running. "Due Soon with Orange Fill" when the bill is 7 days to expiration date. And "Expired with Red Fill" when the bill is due for renewal.</a:t>
          </a:r>
          <a:endParaRPr lang="en-US">
            <a:effectLst/>
          </a:endParaRPr>
        </a:p>
        <a:p>
          <a:pPr algn="ctr"/>
          <a:endParaRPr lang="en-US" sz="1100"/>
        </a:p>
        <a:p>
          <a:pPr algn="ctr"/>
          <a:r>
            <a:rPr lang="en-US" sz="1100">
              <a:solidFill>
                <a:schemeClr val="dk1"/>
              </a:solidFill>
              <a:effectLst/>
              <a:latin typeface="+mn-lt"/>
              <a:ea typeface="+mn-ea"/>
              <a:cs typeface="+mn-cs"/>
            </a:rPr>
            <a:t> </a:t>
          </a:r>
          <a:r>
            <a:rPr lang="en-US" sz="1100" b="1" i="0">
              <a:solidFill>
                <a:schemeClr val="dk1"/>
              </a:solidFill>
              <a:effectLst/>
              <a:latin typeface="+mn-lt"/>
              <a:ea typeface="+mn-ea"/>
              <a:cs typeface="+mn-cs"/>
            </a:rPr>
            <a:t>FORMATTING</a:t>
          </a:r>
          <a:r>
            <a:rPr lang="en-US" sz="1100" b="1" i="0" baseline="0">
              <a:solidFill>
                <a:schemeClr val="dk1"/>
              </a:solidFill>
              <a:effectLst/>
              <a:latin typeface="+mn-lt"/>
              <a:ea typeface="+mn-ea"/>
              <a:cs typeface="+mn-cs"/>
            </a:rPr>
            <a:t> AND DATA ENTRY</a:t>
          </a:r>
          <a:r>
            <a:rPr lang="en-US" sz="1100" b="1" i="0">
              <a:solidFill>
                <a:schemeClr val="dk1"/>
              </a:solidFill>
              <a:effectLst/>
              <a:latin typeface="+mn-lt"/>
              <a:ea typeface="+mn-ea"/>
              <a:cs typeface="+mn-cs"/>
            </a:rPr>
            <a:t>: </a:t>
          </a:r>
          <a:r>
            <a:rPr lang="en-US" sz="1100" b="0" i="0">
              <a:solidFill>
                <a:schemeClr val="dk1"/>
              </a:solidFill>
              <a:effectLst/>
              <a:latin typeface="+mn-lt"/>
              <a:ea typeface="+mn-ea"/>
              <a:cs typeface="+mn-cs"/>
            </a:rPr>
            <a:t>Columns</a:t>
          </a:r>
          <a:r>
            <a:rPr lang="en-US" sz="1100" b="0" i="0" baseline="0">
              <a:solidFill>
                <a:schemeClr val="dk1"/>
              </a:solidFill>
              <a:effectLst/>
              <a:latin typeface="+mn-lt"/>
              <a:ea typeface="+mn-ea"/>
              <a:cs typeface="+mn-cs"/>
            </a:rPr>
            <a:t> with gray fill contains formula and, therefore, can not be edited. Entries can only be made on plain cells.</a:t>
          </a:r>
        </a:p>
        <a:p>
          <a:pPr algn="ctr"/>
          <a:endParaRPr lang="en-US" sz="1100" b="0" i="0" baseline="0">
            <a:solidFill>
              <a:schemeClr val="dk1"/>
            </a:solidFill>
            <a:effectLst/>
            <a:latin typeface="+mn-lt"/>
            <a:ea typeface="+mn-ea"/>
            <a:cs typeface="+mn-cs"/>
          </a:endParaRPr>
        </a:p>
        <a:p>
          <a:pPr algn="ctr"/>
          <a:r>
            <a:rPr lang="en-US" sz="1100" b="1" i="0">
              <a:solidFill>
                <a:schemeClr val="dk1"/>
              </a:solidFill>
              <a:effectLst/>
              <a:latin typeface="+mn-lt"/>
              <a:ea typeface="+mn-ea"/>
              <a:cs typeface="+mn-cs"/>
            </a:rPr>
            <a:t>DATE FORMATTING: </a:t>
          </a:r>
          <a:r>
            <a:rPr lang="en-US" sz="1100" b="0" i="0">
              <a:solidFill>
                <a:schemeClr val="dk1"/>
              </a:solidFill>
              <a:effectLst/>
              <a:latin typeface="+mn-lt"/>
              <a:ea typeface="+mn-ea"/>
              <a:cs typeface="+mn-cs"/>
            </a:rPr>
            <a:t>Date</a:t>
          </a:r>
          <a:r>
            <a:rPr lang="en-US" sz="1100" b="0" i="0" baseline="0">
              <a:solidFill>
                <a:schemeClr val="dk1"/>
              </a:solidFill>
              <a:effectLst/>
              <a:latin typeface="+mn-lt"/>
              <a:ea typeface="+mn-ea"/>
              <a:cs typeface="+mn-cs"/>
            </a:rPr>
            <a:t> must be entered in Year/Month/Day (YYYY/MM/DD) format. Example; 2025/11/30</a:t>
          </a:r>
          <a:r>
            <a:rPr lang="en-US" sz="1100" b="1" i="0">
              <a:solidFill>
                <a:schemeClr val="dk1"/>
              </a:solidFill>
              <a:effectLst/>
              <a:latin typeface="+mn-lt"/>
              <a:ea typeface="+mn-ea"/>
              <a:cs typeface="+mn-cs"/>
            </a:rPr>
            <a:t> </a:t>
          </a:r>
          <a:endParaRPr lang="en-US" sz="1100" b="0" i="0" baseline="0">
            <a:solidFill>
              <a:schemeClr val="dk1"/>
            </a:solidFill>
            <a:effectLst/>
            <a:latin typeface="+mn-lt"/>
            <a:ea typeface="+mn-ea"/>
            <a:cs typeface="+mn-cs"/>
          </a:endParaRPr>
        </a:p>
        <a:p>
          <a:pPr algn="ctr"/>
          <a:endParaRPr lang="en-US" sz="1100" b="0" i="0" baseline="0">
            <a:solidFill>
              <a:schemeClr val="dk1"/>
            </a:solidFill>
            <a:effectLst/>
            <a:latin typeface="+mn-lt"/>
            <a:ea typeface="+mn-ea"/>
            <a:cs typeface="+mn-cs"/>
          </a:endParaRPr>
        </a:p>
        <a:p>
          <a:pPr algn="ctr"/>
          <a:endParaRPr lang="en-US" sz="1100" b="0" i="0" baseline="0">
            <a:solidFill>
              <a:schemeClr val="dk1"/>
            </a:solidFill>
            <a:effectLst/>
            <a:latin typeface="+mn-lt"/>
            <a:ea typeface="+mn-ea"/>
            <a:cs typeface="+mn-cs"/>
          </a:endParaRPr>
        </a:p>
        <a:p>
          <a:pPr algn="ctr"/>
          <a:endParaRPr lang="en-US" sz="1100" b="0" i="0" baseline="0">
            <a:solidFill>
              <a:schemeClr val="dk1"/>
            </a:solidFill>
            <a:effectLst/>
            <a:latin typeface="+mn-lt"/>
            <a:ea typeface="+mn-ea"/>
            <a:cs typeface="+mn-cs"/>
          </a:endParaRPr>
        </a:p>
        <a:p>
          <a:pPr algn="ctr"/>
          <a:r>
            <a:rPr lang="en-US" sz="1100" b="0" i="0" baseline="0">
              <a:solidFill>
                <a:schemeClr val="dk1"/>
              </a:solidFill>
              <a:effectLst/>
              <a:latin typeface="+mn-lt"/>
              <a:ea typeface="+mn-ea"/>
              <a:cs typeface="+mn-cs"/>
            </a:rPr>
            <a:t>									</a:t>
          </a:r>
        </a:p>
        <a:p>
          <a:pPr algn="ctr"/>
          <a:r>
            <a:rPr lang="en-US" sz="1100" b="0" i="0" baseline="0">
              <a:solidFill>
                <a:schemeClr val="dk1"/>
              </a:solidFill>
              <a:effectLst/>
              <a:latin typeface="+mn-lt"/>
              <a:ea typeface="+mn-ea"/>
              <a:cs typeface="+mn-cs"/>
            </a:rPr>
            <a:t>									Template by SmartBiz</a:t>
          </a:r>
        </a:p>
        <a:p>
          <a:pPr algn="ctr"/>
          <a:r>
            <a:rPr lang="en-US" sz="1100" b="0" i="0" baseline="0">
              <a:solidFill>
                <a:schemeClr val="dk1"/>
              </a:solidFill>
              <a:effectLst/>
              <a:latin typeface="+mn-lt"/>
              <a:ea typeface="+mn-ea"/>
              <a:cs typeface="+mn-cs"/>
            </a:rPr>
            <a:t>									Contact: udehchidinma@gmail.com</a:t>
          </a:r>
          <a:endParaRPr lang="en-US" sz="1100"/>
        </a:p>
      </xdr:txBody>
    </xdr:sp>
    <xdr:clientData/>
  </xdr:twoCellAnchor>
  <xdr:twoCellAnchor editAs="absolute">
    <xdr:from>
      <xdr:col>0</xdr:col>
      <xdr:colOff>622300</xdr:colOff>
      <xdr:row>9</xdr:row>
      <xdr:rowOff>25400</xdr:rowOff>
    </xdr:from>
    <xdr:to>
      <xdr:col>7</xdr:col>
      <xdr:colOff>25400</xdr:colOff>
      <xdr:row>13</xdr:row>
      <xdr:rowOff>387350</xdr:rowOff>
    </xdr:to>
    <xdr:pic>
      <xdr:nvPicPr>
        <xdr:cNvPr id="4" name="Picture 3">
          <a:extLst>
            <a:ext uri="{FF2B5EF4-FFF2-40B4-BE49-F238E27FC236}">
              <a16:creationId xmlns:a16="http://schemas.microsoft.com/office/drawing/2014/main" id="{7C463242-3ACA-405B-87E7-7B9CDB5CCCEF}"/>
            </a:ext>
          </a:extLst>
        </xdr:cNvPr>
        <xdr:cNvPicPr>
          <a:picLocks noChangeAspect="1"/>
        </xdr:cNvPicPr>
      </xdr:nvPicPr>
      <xdr:blipFill>
        <a:blip xmlns:r="http://schemas.openxmlformats.org/officeDocument/2006/relationships" r:embed="rId1">
          <a:alphaModFix amt="69000"/>
          <a:extLst>
            <a:ext uri="{28A0092B-C50C-407E-A947-70E740481C1C}">
              <a14:useLocalDpi xmlns:a14="http://schemas.microsoft.com/office/drawing/2010/main" val="0"/>
            </a:ext>
          </a:extLst>
        </a:blip>
        <a:stretch>
          <a:fillRect/>
        </a:stretch>
      </xdr:blipFill>
      <xdr:spPr>
        <a:xfrm>
          <a:off x="622300" y="1733550"/>
          <a:ext cx="8743950" cy="1149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verall%20Budget%20Planner%20Demo%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Annual Summary"/>
      <sheetName val="Expenses Tracker"/>
      <sheetName val="Income Tracker"/>
      <sheetName val="Bill Tracker"/>
      <sheetName val="Savings Tracker"/>
      <sheetName val="PT Expense&amp;Bill Distribu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9">
          <cell r="A49" t="str">
            <v>Energency_Fund</v>
          </cell>
        </row>
        <row r="50">
          <cell r="A50" t="str">
            <v>Investment_Fund</v>
          </cell>
        </row>
        <row r="51">
          <cell r="A51" t="str">
            <v>Vacation_Fund</v>
          </cell>
        </row>
        <row r="52">
          <cell r="A52" t="str">
            <v>Rent</v>
          </cell>
        </row>
        <row r="53">
          <cell r="A53" t="str">
            <v>Wardrobe_Fund</v>
          </cell>
        </row>
        <row r="54">
          <cell r="A54" t="str">
            <v>Wedding_Fund</v>
          </cell>
        </row>
        <row r="55">
          <cell r="A55" t="str">
            <v>Tuition_Fund</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fred" refreshedDate="46004.077508912036" createdVersion="7" refreshedVersion="7" minRefreshableVersion="3" recordCount="7" xr:uid="{BF07FA1E-DC9E-4B54-B4B0-8094B609BC26}">
  <cacheSource type="worksheet">
    <worksheetSource name="Table5"/>
  </cacheSource>
  <cacheFields count="7">
    <cacheField name="Bill Name" numFmtId="0">
      <sharedItems containsBlank="1" count="4">
        <s v="Spotify"/>
        <s v="Youtube"/>
        <s v="Elelctricity"/>
        <m/>
      </sharedItems>
    </cacheField>
    <cacheField name="Start Date" numFmtId="165">
      <sharedItems containsNonDate="0" containsDate="1" containsString="0" containsBlank="1" minDate="2025-03-30T00:00:00" maxDate="2025-11-16T00:00:00" count="4">
        <d v="2025-03-30T00:00:00"/>
        <d v="2025-09-12T00:00:00"/>
        <d v="2025-11-15T00:00:00"/>
        <m/>
      </sharedItems>
    </cacheField>
    <cacheField name="Frequency" numFmtId="0">
      <sharedItems containsBlank="1" count="3">
        <s v="Monthly"/>
        <s v="Annual"/>
        <m/>
      </sharedItems>
    </cacheField>
    <cacheField name="Amount" numFmtId="44">
      <sharedItems containsString="0" containsBlank="1" containsNumber="1" containsInteger="1" minValue="500" maxValue="5000"/>
    </cacheField>
    <cacheField name="Due Date" numFmtId="165">
      <sharedItems containsDate="1" containsMixedTypes="1" minDate="2025-04-30T00:00:00" maxDate="2026-09-13T00:00:00"/>
    </cacheField>
    <cacheField name="Days Left" numFmtId="1">
      <sharedItems containsMixedTypes="1" containsNumber="1" containsInteger="1" minValue="0" maxValue="273" count="4">
        <n v="0"/>
        <n v="273"/>
        <n v="2"/>
        <s v=""/>
      </sharedItems>
    </cacheField>
    <cacheField name="Status" numFmtId="0">
      <sharedItems count="4">
        <s v="Expired"/>
        <s v="Active"/>
        <s v="Due Soon"/>
        <s v=""/>
      </sharedItems>
    </cacheField>
  </cacheFields>
  <extLst>
    <ext xmlns:x14="http://schemas.microsoft.com/office/spreadsheetml/2009/9/main" uri="{725AE2AE-9491-48be-B2B4-4EB974FC3084}">
      <x14:pivotCacheDefinition pivotCacheId="2117916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n v="3000"/>
    <d v="2025-04-30T00:00:00"/>
    <x v="0"/>
    <x v="0"/>
  </r>
  <r>
    <x v="1"/>
    <x v="1"/>
    <x v="1"/>
    <n v="5000"/>
    <d v="2026-09-12T00:00:00"/>
    <x v="1"/>
    <x v="1"/>
  </r>
  <r>
    <x v="2"/>
    <x v="2"/>
    <x v="0"/>
    <n v="500"/>
    <d v="2025-12-15T00:00:00"/>
    <x v="2"/>
    <x v="2"/>
  </r>
  <r>
    <x v="3"/>
    <x v="3"/>
    <x v="2"/>
    <m/>
    <s v=""/>
    <x v="3"/>
    <x v="3"/>
  </r>
  <r>
    <x v="3"/>
    <x v="3"/>
    <x v="2"/>
    <m/>
    <s v=""/>
    <x v="3"/>
    <x v="3"/>
  </r>
  <r>
    <x v="3"/>
    <x v="3"/>
    <x v="2"/>
    <m/>
    <s v=""/>
    <x v="3"/>
    <x v="3"/>
  </r>
  <r>
    <x v="3"/>
    <x v="3"/>
    <x v="2"/>
    <m/>
    <s v=""/>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EE3B0-D472-44B1-8135-A276AEC3A579}" name="PivotTable1" cacheId="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8" firstHeaderRow="1" firstDataRow="1" firstDataCol="1" rowPageCount="1" colPageCount="1"/>
  <pivotFields count="7">
    <pivotField axis="axisRow" showAll="0">
      <items count="5">
        <item x="2"/>
        <item x="0"/>
        <item x="1"/>
        <item x="3"/>
        <item t="default"/>
      </items>
    </pivotField>
    <pivotField showAll="0">
      <items count="5">
        <item x="0"/>
        <item x="1"/>
        <item x="2"/>
        <item x="3"/>
        <item t="default"/>
      </items>
    </pivotField>
    <pivotField axis="axisPage" showAll="0">
      <items count="4">
        <item x="1"/>
        <item x="0"/>
        <item x="2"/>
        <item t="default"/>
      </items>
    </pivotField>
    <pivotField dataField="1" showAll="0"/>
    <pivotField showAll="0"/>
    <pivotField showAll="0">
      <items count="5">
        <item x="0"/>
        <item x="2"/>
        <item x="1"/>
        <item x="3"/>
        <item t="default"/>
      </items>
    </pivotField>
    <pivotField showAll="0">
      <items count="5">
        <item x="3"/>
        <item x="1"/>
        <item x="2"/>
        <item x="0"/>
        <item t="default"/>
      </items>
    </pivotField>
  </pivotFields>
  <rowFields count="1">
    <field x="0"/>
  </rowFields>
  <rowItems count="5">
    <i>
      <x/>
    </i>
    <i>
      <x v="1"/>
    </i>
    <i>
      <x v="2"/>
    </i>
    <i>
      <x v="3"/>
    </i>
    <i t="grand">
      <x/>
    </i>
  </rowItems>
  <colItems count="1">
    <i/>
  </colItems>
  <pageFields count="1">
    <pageField fld="2" hier="-1"/>
  </pageField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Left" xr10:uid="{06CA4849-A3AF-4951-A8FF-732504765D81}" sourceName="Days Left">
  <pivotTables>
    <pivotTable tabId="3" name="PivotTable1"/>
  </pivotTables>
  <data>
    <tabular pivotCacheId="2117916521">
      <items count="4">
        <i x="0" s="1"/>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B4B21F1-D265-497B-AFC2-7E4DB83A75FD}" sourceName="Status">
  <pivotTables>
    <pivotTable tabId="3" name="PivotTable1"/>
  </pivotTables>
  <data>
    <tabular pivotCacheId="2117916521">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14079EED-3AC4-4A82-AA17-3BF8CB4779C5}" sourceName="Frequency">
  <pivotTables>
    <pivotTable tabId="3" name="PivotTable1"/>
  </pivotTables>
  <data>
    <tabular pivotCacheId="2117916521">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Left" xr10:uid="{4D7CB589-0601-4D4D-8CE8-F3B6955481DC}" cache="Slicer_Days_Left" caption="Days Left" style="SlicerStyleLight2" rowHeight="241300"/>
  <slicer name="Status" xr10:uid="{48B7C073-377E-4C81-A6C9-59E2CC32956B}" cache="Slicer_Status" caption="Status" style="SlicerStyleLight2" rowHeight="241300"/>
  <slicer name="Frequency" xr10:uid="{7BA603CE-39D7-4ED9-9CAB-5A7C55BCD6F3}" cache="Slicer_Frequency" caption="Frequenc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2D117F-3B01-46B5-B15F-B7E251761F75}" name="Table5" displayName="Table5" ref="B1:H8" totalsRowShown="0" headerRowDxfId="4" dataDxfId="3" headerRowBorderDxfId="23" tableBorderDxfId="22" totalsRowBorderDxfId="21">
  <autoFilter ref="B1:H8" xr:uid="{676F77AB-F417-41B2-937A-A80650C8E7D5}"/>
  <tableColumns count="7">
    <tableColumn id="1" xr3:uid="{65191E24-7F17-4DBF-97A4-252B0946BFC8}" name="Bill Name" dataDxfId="8"/>
    <tableColumn id="3" xr3:uid="{E3FC2D33-71BA-442E-8B48-C69213E7671B}" name="Start Date" dataDxfId="7"/>
    <tableColumn id="4" xr3:uid="{0F66A2A7-0307-48E7-83D3-52918FA07100}" name="Frequency" dataDxfId="6"/>
    <tableColumn id="5" xr3:uid="{923E256D-6BD2-480F-A7A3-A666C6AD77F8}" name="Amount" dataDxfId="5" dataCellStyle="Currency"/>
    <tableColumn id="6" xr3:uid="{139BADC0-6B36-424C-B9F0-B5373DD531BD}" name="Due Date" dataDxfId="2">
      <calculatedColumnFormula>IF(Table5[[#This Row],[Frequency]]="Monthly", EDATE(Table5[[#This Row],[Start Date]],1), IF(Table5[[#This Row],[Frequency]]="Quarterly", EDATE(Table5[[#This Row],[Start Date]],3), IF(Table5[[#This Row],[Frequency]]="Bi-Annual", EDATE(Table5[[#This Row],[Start Date]],6), IF(Table5[[#This Row],[Frequency]]="Annual", EDATE(Table5[[#This Row],[Start Date]],12),""))))</calculatedColumnFormula>
    </tableColumn>
    <tableColumn id="8" xr3:uid="{0FBB6008-50DC-445E-8CD5-23CC0853EDE1}" name="Days Left" dataDxfId="1">
      <calculatedColumnFormula>IFERROR(MAX(Table5[[#This Row],[Due Date]] - TODAY(), 0), "")</calculatedColumnFormula>
    </tableColumn>
    <tableColumn id="7" xr3:uid="{659B612F-33A8-4201-8965-0D06D3A05AD6}" name="Status" dataDxfId="0">
      <calculatedColumnFormula>IF(Table5[[#This Row],[Days Left]]="","", IF(Table5[[#This Row],[Days Left]]=0, "Expired", IF(Table5[[#This Row],[Days Left]]&lt;=7, "Due Soon", "Active")))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700DDB-38C7-4607-BFCB-B1873A93BFEA}" name="Table6" displayName="Table6" ref="A1:A5" totalsRowShown="0" headerRowDxfId="9" dataDxfId="19" headerRowBorderDxfId="20" tableBorderDxfId="18" totalsRowBorderDxfId="17">
  <autoFilter ref="A1:A5" xr:uid="{71700DDB-38C7-4607-BFCB-B1873A93BFEA}"/>
  <tableColumns count="1">
    <tableColumn id="1" xr3:uid="{B4B2E406-A69D-4A7B-8B10-508B1DE0614C}" name="BILL_FREQUENCY"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DA663-A1FC-491C-AD31-407A794A2BFE}" name="Table3" displayName="Table3" ref="A8:A16" totalsRowShown="0" headerRowDxfId="10" dataDxfId="14" headerRowBorderDxfId="15" tableBorderDxfId="13" totalsRowBorderDxfId="12">
  <autoFilter ref="A8:A16" xr:uid="{210DA663-A1FC-491C-AD31-407A794A2BFE}"/>
  <tableColumns count="1">
    <tableColumn id="1" xr3:uid="{956FE742-71F0-4786-B0BA-91BAF1DEE726}" name="BILL_NAME" dataDxf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48FF511C-A7F5-4081-8125-5C0CF98DB803}" sourceName="Start Date">
  <pivotTables>
    <pivotTable tabId="3" name="PivotTable1"/>
  </pivotTables>
  <state minimalRefreshVersion="6" lastRefreshVersion="6" pivotCacheId="211791652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93C30422-29B2-49F6-B1F1-1824333B7306}" cache="NativeTimeline_Start_Date" caption="Start Date" level="2" selectionLevel="3" scrollPosition="2025-06-07T00:00:00" style="TimeSlicerStyleLight2"/>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479E-6C07-4245-997E-46E5F66D05A1}">
  <dimension ref="A1:B8"/>
  <sheetViews>
    <sheetView workbookViewId="0">
      <selection activeCell="P8" sqref="P8"/>
    </sheetView>
  </sheetViews>
  <sheetFormatPr defaultRowHeight="14.5" x14ac:dyDescent="0.35"/>
  <cols>
    <col min="1" max="1" width="12.36328125" bestFit="1" customWidth="1"/>
    <col min="2" max="2" width="14" bestFit="1" customWidth="1"/>
    <col min="3" max="3" width="7.90625" bestFit="1" customWidth="1"/>
    <col min="4" max="4" width="6.7265625" bestFit="1" customWidth="1"/>
    <col min="5" max="5" width="10.7265625" bestFit="1" customWidth="1"/>
  </cols>
  <sheetData>
    <row r="1" spans="1:2" x14ac:dyDescent="0.35">
      <c r="A1" s="29" t="s">
        <v>2</v>
      </c>
      <c r="B1" t="s">
        <v>24</v>
      </c>
    </row>
    <row r="3" spans="1:2" x14ac:dyDescent="0.35">
      <c r="A3" s="29" t="s">
        <v>21</v>
      </c>
      <c r="B3" t="s">
        <v>25</v>
      </c>
    </row>
    <row r="4" spans="1:2" x14ac:dyDescent="0.35">
      <c r="A4" s="30" t="s">
        <v>16</v>
      </c>
      <c r="B4" s="31">
        <v>500</v>
      </c>
    </row>
    <row r="5" spans="1:2" x14ac:dyDescent="0.35">
      <c r="A5" s="30" t="s">
        <v>7</v>
      </c>
      <c r="B5" s="31">
        <v>3000</v>
      </c>
    </row>
    <row r="6" spans="1:2" x14ac:dyDescent="0.35">
      <c r="A6" s="30" t="s">
        <v>9</v>
      </c>
      <c r="B6" s="31">
        <v>5000</v>
      </c>
    </row>
    <row r="7" spans="1:2" x14ac:dyDescent="0.35">
      <c r="A7" s="30" t="s">
        <v>22</v>
      </c>
      <c r="B7" s="31"/>
    </row>
    <row r="8" spans="1:2" x14ac:dyDescent="0.35">
      <c r="A8" s="30" t="s">
        <v>23</v>
      </c>
      <c r="B8" s="31">
        <v>8500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32A7-3F2F-4700-8A18-B8B7072A6FA1}">
  <dimension ref="B1:H14"/>
  <sheetViews>
    <sheetView tabSelected="1" workbookViewId="0">
      <selection activeCell="I2" sqref="I2"/>
    </sheetView>
  </sheetViews>
  <sheetFormatPr defaultColWidth="14.453125" defaultRowHeight="14.5" x14ac:dyDescent="0.35"/>
  <cols>
    <col min="1" max="1" width="14.453125" style="7"/>
    <col min="2" max="2" width="19.26953125" style="7" customWidth="1"/>
    <col min="3" max="3" width="24.90625" style="17" customWidth="1"/>
    <col min="4" max="4" width="14.453125" style="7"/>
    <col min="5" max="5" width="17.26953125" style="7" customWidth="1"/>
    <col min="6" max="6" width="27.54296875" style="18" customWidth="1"/>
    <col min="7" max="7" width="15.81640625" style="22" customWidth="1"/>
    <col min="8" max="8" width="18.1796875" style="19" customWidth="1"/>
    <col min="9" max="16384" width="14.453125" style="7"/>
  </cols>
  <sheetData>
    <row r="1" spans="2:8" ht="18.5" x14ac:dyDescent="0.35">
      <c r="B1" s="32" t="s">
        <v>0</v>
      </c>
      <c r="C1" s="33" t="s">
        <v>1</v>
      </c>
      <c r="D1" s="34" t="s">
        <v>2</v>
      </c>
      <c r="E1" s="34" t="s">
        <v>3</v>
      </c>
      <c r="F1" s="35" t="s">
        <v>4</v>
      </c>
      <c r="G1" s="36" t="s">
        <v>5</v>
      </c>
      <c r="H1" s="37" t="s">
        <v>6</v>
      </c>
    </row>
    <row r="2" spans="2:8" x14ac:dyDescent="0.35">
      <c r="B2" s="8" t="s">
        <v>7</v>
      </c>
      <c r="C2" s="9">
        <v>45746</v>
      </c>
      <c r="D2" s="10" t="s">
        <v>8</v>
      </c>
      <c r="E2" s="11">
        <v>3000</v>
      </c>
      <c r="F2" s="23">
        <f>IF(Table5[[#This Row],[Frequency]]="Monthly", EDATE(Table5[[#This Row],[Start Date]],1), IF(Table5[[#This Row],[Frequency]]="Quarterly", EDATE(Table5[[#This Row],[Start Date]],3), IF(Table5[[#This Row],[Frequency]]="Bi-Annual", EDATE(Table5[[#This Row],[Start Date]],6), IF(Table5[[#This Row],[Frequency]]="Annual", EDATE(Table5[[#This Row],[Start Date]],12),""))))</f>
        <v>45777</v>
      </c>
      <c r="G2" s="24">
        <f ca="1">IFERROR(MAX(Table5[[#This Row],[Due Date]] - TODAY(), 0), "")</f>
        <v>0</v>
      </c>
      <c r="H2" s="25" t="str">
        <f ca="1">IF(Table5[[#This Row],[Days Left]]="","", IF(Table5[[#This Row],[Days Left]]=0, "Expired", IF(Table5[[#This Row],[Days Left]]&lt;=7, "Due Soon", "Active")))</f>
        <v>Expired</v>
      </c>
    </row>
    <row r="3" spans="2:8" x14ac:dyDescent="0.35">
      <c r="B3" s="8" t="s">
        <v>9</v>
      </c>
      <c r="C3" s="9">
        <v>45912</v>
      </c>
      <c r="D3" s="10" t="s">
        <v>10</v>
      </c>
      <c r="E3" s="11">
        <v>5000</v>
      </c>
      <c r="F3" s="23">
        <f>IF(Table5[[#This Row],[Frequency]]="Monthly", EDATE(Table5[[#This Row],[Start Date]],1), IF(Table5[[#This Row],[Frequency]]="Quarterly", EDATE(Table5[[#This Row],[Start Date]],3), IF(Table5[[#This Row],[Frequency]]="Bi-Annual", EDATE(Table5[[#This Row],[Start Date]],6), IF(Table5[[#This Row],[Frequency]]="Annual", EDATE(Table5[[#This Row],[Start Date]],12),""))))</f>
        <v>46277</v>
      </c>
      <c r="G3" s="24">
        <f ca="1">IFERROR(MAX(Table5[[#This Row],[Due Date]] - TODAY(), 0), "")</f>
        <v>273</v>
      </c>
      <c r="H3" s="25" t="str">
        <f ca="1">IF(Table5[[#This Row],[Days Left]]="","", IF(Table5[[#This Row],[Days Left]]=0, "Expired", IF(Table5[[#This Row],[Days Left]]&lt;=7, "Due Soon", "Active")))</f>
        <v>Active</v>
      </c>
    </row>
    <row r="4" spans="2:8" x14ac:dyDescent="0.35">
      <c r="B4" s="8" t="s">
        <v>16</v>
      </c>
      <c r="C4" s="9">
        <v>45976</v>
      </c>
      <c r="D4" s="10" t="s">
        <v>8</v>
      </c>
      <c r="E4" s="11">
        <v>500</v>
      </c>
      <c r="F4" s="23">
        <f>IF(Table5[[#This Row],[Frequency]]="Monthly", EDATE(Table5[[#This Row],[Start Date]],1), IF(Table5[[#This Row],[Frequency]]="Quarterly", EDATE(Table5[[#This Row],[Start Date]],3), IF(Table5[[#This Row],[Frequency]]="Bi-Annual", EDATE(Table5[[#This Row],[Start Date]],6), IF(Table5[[#This Row],[Frequency]]="Annual", EDATE(Table5[[#This Row],[Start Date]],12),""))))</f>
        <v>46006</v>
      </c>
      <c r="G4" s="24">
        <f ca="1">IFERROR(MAX(Table5[[#This Row],[Due Date]] - TODAY(), 0), "")</f>
        <v>2</v>
      </c>
      <c r="H4" s="25" t="str">
        <f ca="1">IF(Table5[[#This Row],[Days Left]]="","", IF(Table5[[#This Row],[Days Left]]=0, "Expired", IF(Table5[[#This Row],[Days Left]]&lt;=7, "Due Soon", "Active")))</f>
        <v>Due Soon</v>
      </c>
    </row>
    <row r="5" spans="2:8" x14ac:dyDescent="0.35">
      <c r="B5" s="8"/>
      <c r="C5" s="9"/>
      <c r="D5" s="10"/>
      <c r="E5" s="11"/>
      <c r="F5" s="23" t="str">
        <f>IF(Table5[[#This Row],[Frequency]]="Monthly", EDATE(Table5[[#This Row],[Start Date]],1), IF(Table5[[#This Row],[Frequency]]="Quarterly", EDATE(Table5[[#This Row],[Start Date]],3), IF(Table5[[#This Row],[Frequency]]="Bi-Annual", EDATE(Table5[[#This Row],[Start Date]],6), IF(Table5[[#This Row],[Frequency]]="Annual", EDATE(Table5[[#This Row],[Start Date]],12),""))))</f>
        <v/>
      </c>
      <c r="G5" s="24" t="str">
        <f ca="1">IFERROR(MAX(Table5[[#This Row],[Due Date]] - TODAY(), 0), "")</f>
        <v/>
      </c>
      <c r="H5" s="25" t="str">
        <f ca="1">IF(Table5[[#This Row],[Days Left]]="","", IF(Table5[[#This Row],[Days Left]]=0, "Expired", IF(Table5[[#This Row],[Days Left]]&lt;=7, "Due Soon", "Active")))</f>
        <v/>
      </c>
    </row>
    <row r="6" spans="2:8" x14ac:dyDescent="0.35">
      <c r="B6" s="8"/>
      <c r="C6" s="9"/>
      <c r="D6" s="10"/>
      <c r="E6" s="11"/>
      <c r="F6" s="23" t="str">
        <f>IF(Table5[[#This Row],[Frequency]]="Monthly", EDATE(Table5[[#This Row],[Start Date]],1), IF(Table5[[#This Row],[Frequency]]="Quarterly", EDATE(Table5[[#This Row],[Start Date]],3), IF(Table5[[#This Row],[Frequency]]="Bi-Annual", EDATE(Table5[[#This Row],[Start Date]],6), IF(Table5[[#This Row],[Frequency]]="Annual", EDATE(Table5[[#This Row],[Start Date]],12),""))))</f>
        <v/>
      </c>
      <c r="G6" s="24" t="str">
        <f ca="1">IFERROR(MAX(Table5[[#This Row],[Due Date]] - TODAY(), 0), "")</f>
        <v/>
      </c>
      <c r="H6" s="25" t="str">
        <f ca="1">IF(Table5[[#This Row],[Days Left]]="","", IF(Table5[[#This Row],[Days Left]]=0, "Expired", IF(Table5[[#This Row],[Days Left]]&lt;=7, "Due Soon", "Active")))</f>
        <v/>
      </c>
    </row>
    <row r="7" spans="2:8" x14ac:dyDescent="0.35">
      <c r="B7" s="12"/>
      <c r="C7" s="13"/>
      <c r="D7" s="14"/>
      <c r="E7" s="15"/>
      <c r="F7" s="26" t="str">
        <f>IF(Table5[[#This Row],[Frequency]]="Monthly", EDATE(Table5[[#This Row],[Start Date]],1), IF(Table5[[#This Row],[Frequency]]="Quarterly", EDATE(Table5[[#This Row],[Start Date]],3), IF(Table5[[#This Row],[Frequency]]="Bi-Annual", EDATE(Table5[[#This Row],[Start Date]],6), IF(Table5[[#This Row],[Frequency]]="Annual", EDATE(Table5[[#This Row],[Start Date]],12),""))))</f>
        <v/>
      </c>
      <c r="G7" s="27" t="str">
        <f ca="1">IFERROR(MAX(Table5[[#This Row],[Due Date]] - TODAY(), 0), "")</f>
        <v/>
      </c>
      <c r="H7" s="28" t="str">
        <f ca="1">IF(Table5[[#This Row],[Days Left]]="","", IF(Table5[[#This Row],[Days Left]]=0, "Expired", IF(Table5[[#This Row],[Days Left]]&lt;=7, "Due Soon", "Active")))</f>
        <v/>
      </c>
    </row>
    <row r="8" spans="2:8" x14ac:dyDescent="0.35">
      <c r="B8" s="12"/>
      <c r="C8" s="13"/>
      <c r="D8" s="14"/>
      <c r="E8" s="15"/>
      <c r="F8" s="26" t="str">
        <f>IF(Table5[[#This Row],[Frequency]]="Monthly", EDATE(Table5[[#This Row],[Start Date]],1), IF(Table5[[#This Row],[Frequency]]="Quarterly", EDATE(Table5[[#This Row],[Start Date]],3), IF(Table5[[#This Row],[Frequency]]="Bi-Annual", EDATE(Table5[[#This Row],[Start Date]],6), IF(Table5[[#This Row],[Frequency]]="Annual", EDATE(Table5[[#This Row],[Start Date]],12),""))))</f>
        <v/>
      </c>
      <c r="G8" s="27" t="str">
        <f ca="1">IFERROR(MAX(Table5[[#This Row],[Due Date]] - TODAY(), 0), "")</f>
        <v/>
      </c>
      <c r="H8" s="28" t="str">
        <f ca="1">IF(Table5[[#This Row],[Days Left]]="","", IF(Table5[[#This Row],[Days Left]]=0, "Expired", IF(Table5[[#This Row],[Days Left]]&lt;=7, "Due Soon", "Active")))</f>
        <v/>
      </c>
    </row>
    <row r="11" spans="2:8" ht="18.5" x14ac:dyDescent="0.35">
      <c r="C11" s="16"/>
      <c r="D11" s="17"/>
      <c r="F11" s="7"/>
      <c r="G11" s="18"/>
    </row>
    <row r="14" spans="2:8" ht="31" x14ac:dyDescent="0.7">
      <c r="D14" s="20"/>
      <c r="E14" s="20"/>
      <c r="F14" s="20"/>
      <c r="G14" s="21"/>
      <c r="H14" s="21"/>
    </row>
  </sheetData>
  <sheetProtection algorithmName="SHA-512" hashValue="GZ3ZCQ8FBWVQc1RKUc3Lobu84AQSKLHmd6xz51B1PjCSNJR5Bqd5mGQ0Zj50CdJ9apxkzIB8rrZneuobQrVGTw==" saltValue="eq2jxkR+lEw84MT2AtWVYg==" spinCount="100000" sheet="1" objects="1" scenarios="1" formatCells="0" formatColumns="0" insertRows="0" deleteRows="0" selectLockedCells="1" sort="0" autoFilter="0"/>
  <conditionalFormatting sqref="H2:H8">
    <cfRule type="containsText" dxfId="27" priority="1" operator="containsText" text="Due Soon">
      <formula>NOT(ISERROR(SEARCH("Due Soon",H2)))</formula>
    </cfRule>
    <cfRule type="containsText" dxfId="26" priority="2" operator="containsText" text="Active">
      <formula>NOT(ISERROR(SEARCH("Active",H2)))</formula>
    </cfRule>
    <cfRule type="containsText" dxfId="25" priority="3" operator="containsText" text="Active">
      <formula>NOT(ISERROR(SEARCH("Active",H2)))</formula>
    </cfRule>
    <cfRule type="containsText" dxfId="24" priority="4" operator="containsText" text="Expired">
      <formula>NOT(ISERROR(SEARCH("Expired",H2)))</formula>
    </cfRule>
  </conditionalFormatting>
  <dataValidations count="1">
    <dataValidation type="date" allowBlank="1" showInputMessage="1" showErrorMessage="1" error="Please enter a valid date_x000a_ (YYYY/MM/DD)" prompt="Valid date format: YYYY/MM/DD" sqref="C2:C10 C18:C1048576 C12:C16 D11" xr:uid="{7AAEF8C3-2BC8-479F-B1E8-930F7F6B7E60}">
      <formula1>DATE(1900,1,1)</formula1>
      <formula2>DATE(9999,12,31)</formula2>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DC016152-D1A8-4482-81C0-B6DC62DCA540}">
          <x14:formula1>
            <xm:f>Sheet2!$A$9:$A$16</xm:f>
          </x14:formula1>
          <xm:sqref>B2:B8</xm:sqref>
        </x14:dataValidation>
        <x14:dataValidation type="list" allowBlank="1" showInputMessage="1" showErrorMessage="1" xr:uid="{8CF9AECB-ECF6-4F1D-B6F9-F828200634C0}">
          <x14:formula1>
            <xm:f>Sheet2!$A$2:$A$5</xm:f>
          </x14:formula1>
          <xm:sqref>D2:D8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59CB-FD70-4E48-9B1A-8E5989532CBD}">
  <dimension ref="A1:A21"/>
  <sheetViews>
    <sheetView workbookViewId="0">
      <selection activeCell="C5" sqref="C5"/>
    </sheetView>
  </sheetViews>
  <sheetFormatPr defaultRowHeight="14.5" x14ac:dyDescent="0.35"/>
  <cols>
    <col min="1" max="1" width="18.90625" style="1" bestFit="1" customWidth="1"/>
    <col min="2" max="16384" width="8.7265625" style="1"/>
  </cols>
  <sheetData>
    <row r="1" spans="1:1" ht="15.5" x14ac:dyDescent="0.35">
      <c r="A1" s="39" t="s">
        <v>11</v>
      </c>
    </row>
    <row r="2" spans="1:1" x14ac:dyDescent="0.35">
      <c r="A2" s="2" t="s">
        <v>8</v>
      </c>
    </row>
    <row r="3" spans="1:1" x14ac:dyDescent="0.35">
      <c r="A3" s="2" t="s">
        <v>12</v>
      </c>
    </row>
    <row r="4" spans="1:1" x14ac:dyDescent="0.35">
      <c r="A4" s="2" t="s">
        <v>13</v>
      </c>
    </row>
    <row r="5" spans="1:1" x14ac:dyDescent="0.35">
      <c r="A5" s="3" t="s">
        <v>10</v>
      </c>
    </row>
    <row r="8" spans="1:1" ht="15.5" x14ac:dyDescent="0.35">
      <c r="A8" s="38" t="s">
        <v>14</v>
      </c>
    </row>
    <row r="9" spans="1:1" x14ac:dyDescent="0.35">
      <c r="A9" s="2" t="s">
        <v>15</v>
      </c>
    </row>
    <row r="10" spans="1:1" x14ac:dyDescent="0.35">
      <c r="A10" s="5" t="s">
        <v>16</v>
      </c>
    </row>
    <row r="11" spans="1:1" x14ac:dyDescent="0.35">
      <c r="A11" s="5" t="s">
        <v>17</v>
      </c>
    </row>
    <row r="12" spans="1:1" x14ac:dyDescent="0.35">
      <c r="A12" s="5" t="s">
        <v>18</v>
      </c>
    </row>
    <row r="13" spans="1:1" x14ac:dyDescent="0.35">
      <c r="A13" s="5" t="s">
        <v>19</v>
      </c>
    </row>
    <row r="14" spans="1:1" x14ac:dyDescent="0.35">
      <c r="A14" s="5" t="s">
        <v>7</v>
      </c>
    </row>
    <row r="15" spans="1:1" x14ac:dyDescent="0.35">
      <c r="A15" s="5" t="s">
        <v>20</v>
      </c>
    </row>
    <row r="16" spans="1:1" x14ac:dyDescent="0.35">
      <c r="A16" s="6" t="s">
        <v>9</v>
      </c>
    </row>
    <row r="21" spans="1:1" x14ac:dyDescent="0.35">
      <c r="A21" s="4"/>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Bill Tracker</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Udeh</dc:creator>
  <cp:lastModifiedBy>Chidinma Udeh</cp:lastModifiedBy>
  <dcterms:created xsi:type="dcterms:W3CDTF">2025-12-10T12:22:08Z</dcterms:created>
  <dcterms:modified xsi:type="dcterms:W3CDTF">2025-12-13T01:24:12Z</dcterms:modified>
</cp:coreProperties>
</file>